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6e24a4974e49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差旅标准" sheetId="1" r:id="R4cb9ad32e0de48ae"/>
    <x:sheet xmlns:r="http://schemas.openxmlformats.org/officeDocument/2006/relationships" name="报销示例" sheetId="2" r:id="R225c8840256c48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¥&quot;#,##0"/>
  </x:numFmts>
  <x:fonts count="4">
    <x:font>
      <x:sz val="11"/>
      <x:name val="Carlito"/>
    </x:font>
    <x:font>
      <x:b/>
      <x:sz val="18"/>
      <x:color rgb="FFFFFFFF"/>
      <x:name val="Carlito"/>
    </x:font>
    <x:font>
      <x:i/>
      <x:sz val="10"/>
      <x:color rgb="FF667085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3B56"/>
      </x:patternFill>
    </x:fill>
    <x:fill>
      <x:patternFill patternType="solid">
        <x:fgColor rgb="FF087E8B"/>
      </x:patternFill>
    </x:fill>
  </x:fills>
  <x:borders count="13">
    <x:border/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200" fontId="0" fillId="0" borderId="5" xfId="0" applyNumberFormat="1" applyFont="1" applyFill="1" applyBorder="1" applyAlignment="1">
      <x:alignment vertical="center" wrapText="1"/>
    </x:xf>
    <x:xf numFmtId="200" fontId="0" fillId="0" borderId="8" xfId="0" applyNumberFormat="1" applyFont="1" applyFill="1" applyBorder="1" applyAlignment="1">
      <x:alignment vertical="center" wrapText="1"/>
    </x:xf>
    <x:xf numFmtId="200" fontId="0" fillId="0" borderId="1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B42318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8326a588de4e1b" /><Relationship Type="http://schemas.openxmlformats.org/officeDocument/2006/relationships/theme" Target="/xl/theme/theme1.xml" Id="R9245c27a46a043f8" /><Relationship Type="http://schemas.openxmlformats.org/officeDocument/2006/relationships/sharedStrings" Target="/xl/sharedStrings.xml" Id="R980ea745e85b4cea" /><Relationship Type="http://schemas.openxmlformats.org/officeDocument/2006/relationships/worksheet" Target="/xl/worksheets/sheet1.xml" Id="R4cb9ad32e0de48ae" /><Relationship Type="http://schemas.openxmlformats.org/officeDocument/2006/relationships/worksheet" Target="/xl/worksheets/sheet2.xml" Id="R225c8840256c483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15" hidden="0" customWidth="1"/>
    <x:col min="4" max="4" width="15" hidden="0" customWidth="1"/>
    <x:col min="5" max="5" width="15" hidden="0" customWidth="1"/>
    <x:col min="6" max="6" width="30" hidden="0" customWidth="1"/>
  </x:cols>
  <x:sheetData>
    <x:row r="1" ht="34" customHeight="1">
      <x:c r="A1" s="3" t="str">
        <x:v>北辰数科差旅费用标准（演示）</x:v>
      </x:c>
    </x:row>
    <x:row r="2" ht="24" customHeight="1">
      <x:c r="A2" s="4" t="str">
        <x:v>全部金额与企业均为虚构，仅用于知识库表格检索测试。</x:v>
      </x:c>
    </x:row>
    <x:row r="4" ht="28" customHeight="1">
      <x:c r="A4" s="13" t="str">
        <x:v>城市类别</x:v>
      </x:c>
      <x:c r="B4" s="14" t="str">
        <x:v>示例城市</x:v>
      </x:c>
      <x:c r="C4" s="14" t="str">
        <x:v>住宿上限/晚</x:v>
      </x:c>
      <x:c r="D4" s="14" t="str">
        <x:v>餐费补贴/天</x:v>
      </x:c>
      <x:c r="E4" s="14" t="str">
        <x:v>市内交通/天</x:v>
      </x:c>
      <x:c r="F4" s="15" t="str">
        <x:v>审批要求</x:v>
      </x:c>
    </x:row>
    <x:row r="5" ht="25" customHeight="1">
      <x:c r="A5" s="34" t="str">
        <x:v>一类</x:v>
      </x:c>
      <x:c r="B5" s="35" t="str">
        <x:v>北京、上海、广州、深圳</x:v>
      </x:c>
      <x:c r="C5" s="43" t="n">
        <x:v>600</x:v>
      </x:c>
      <x:c r="D5" s="43" t="n">
        <x:v>120</x:v>
      </x:c>
      <x:c r="E5" s="43" t="n">
        <x:v>100</x:v>
      </x:c>
      <x:c r="F5" s="36" t="str">
        <x:v>标准内由直属主管审批</x:v>
      </x:c>
    </x:row>
    <x:row r="6" ht="25" customHeight="1">
      <x:c r="A6" s="37" t="str">
        <x:v>二类</x:v>
      </x:c>
      <x:c r="B6" s="38" t="str">
        <x:v>省会、计划单列市</x:v>
      </x:c>
      <x:c r="C6" s="44" t="n">
        <x:v>450</x:v>
      </x:c>
      <x:c r="D6" s="44" t="n">
        <x:v>100</x:v>
      </x:c>
      <x:c r="E6" s="44" t="n">
        <x:v>80</x:v>
      </x:c>
      <x:c r="F6" s="39" t="str">
        <x:v>标准内由直属主管审批</x:v>
      </x:c>
    </x:row>
    <x:row r="7" ht="25" customHeight="1">
      <x:c r="A7" s="37" t="str">
        <x:v>其他</x:v>
      </x:c>
      <x:c r="B7" s="38" t="str">
        <x:v>其余城市</x:v>
      </x:c>
      <x:c r="C7" s="44" t="n">
        <x:v>350</x:v>
      </x:c>
      <x:c r="D7" s="44" t="n">
        <x:v>80</x:v>
      </x:c>
      <x:c r="E7" s="44" t="n">
        <x:v>60</x:v>
      </x:c>
      <x:c r="F7" s="39" t="str">
        <x:v>标准内由直属主管审批</x:v>
      </x:c>
    </x:row>
    <x:row r="8" ht="25" customHeight="1">
      <x:c r="A8" s="40" t="str">
        <x:v>超标准</x:v>
      </x:c>
      <x:c r="B8" s="41" t="str">
        <x:v>所有城市</x:v>
      </x:c>
      <x:c r="C8" s="45" t="n">
        <x:v>0</x:v>
      </x:c>
      <x:c r="D8" s="45" t="n">
        <x:v>0</x:v>
      </x:c>
      <x:c r="E8" s="45" t="n">
        <x:v>0</x:v>
      </x:c>
      <x:c r="F8" s="42" t="str">
        <x:v>出差前取得部门负责人和财务负责人书面批准</x:v>
      </x:c>
    </x:row>
    <x:row r="10" ht="28" customHeight="1">
      <x:c r="A10" s="13" t="str">
        <x:v>交通工具</x:v>
      </x:c>
      <x:c r="B10" s="14" t="str">
        <x:v>普通员工</x:v>
      </x:c>
      <x:c r="C10" s="14" t="str">
        <x:v>部门负责人</x:v>
      </x:c>
      <x:c r="D10" s="14" t="str">
        <x:v>高管</x:v>
      </x:c>
      <x:c r="E10" s="14" t="str">
        <x:v>凭证</x:v>
      </x:c>
      <x:c r="F10" s="15" t="str">
        <x:v>备注</x:v>
      </x:c>
    </x:row>
    <x:row r="11" ht="25" customHeight="1">
      <x:c r="A11" s="34" t="str">
        <x:v>飞机</x:v>
      </x:c>
      <x:c r="B11" s="35" t="str">
        <x:v>经济舱</x:v>
      </x:c>
      <x:c r="C11" s="35" t="str">
        <x:v>经济舱</x:v>
      </x:c>
      <x:c r="D11" s="35" t="str">
        <x:v>公务舱需事前批准</x:v>
      </x:c>
      <x:c r="E11" s="35" t="str">
        <x:v>行程单+发票</x:v>
      </x:c>
      <x:c r="F11" s="36" t="str">
        <x:v>优先选择合理低价航班</x:v>
      </x:c>
    </x:row>
    <x:row r="12" ht="25" customHeight="1">
      <x:c r="A12" s="37" t="str">
        <x:v>高铁</x:v>
      </x:c>
      <x:c r="B12" s="38" t="str">
        <x:v>二等座</x:v>
      </x:c>
      <x:c r="C12" s="38" t="str">
        <x:v>一等座</x:v>
      </x:c>
      <x:c r="D12" s="38" t="str">
        <x:v>一等座</x:v>
      </x:c>
      <x:c r="E12" s="38" t="str">
        <x:v>车票</x:v>
      </x:c>
      <x:c r="F12" s="39" t="str">
        <x:v>4小时内优先高铁</x:v>
      </x:c>
    </x:row>
    <x:row r="13" ht="25" customHeight="1">
      <x:c r="A13" s="37" t="str">
        <x:v>出租车</x:v>
      </x:c>
      <x:c r="B13" s="38" t="str">
        <x:v>业务需要</x:v>
      </x:c>
      <x:c r="C13" s="38" t="str">
        <x:v>业务需要</x:v>
      </x:c>
      <x:c r="D13" s="38" t="str">
        <x:v>业务需要</x:v>
      </x:c>
      <x:c r="E13" s="38" t="str">
        <x:v>发票+行程</x:v>
      </x:c>
      <x:c r="F13" s="39" t="str">
        <x:v>说明起止地点</x:v>
      </x:c>
    </x:row>
    <x:row r="14" ht="25" customHeight="1">
      <x:c r="A14" s="40" t="str">
        <x:v>网约车</x:v>
      </x:c>
      <x:c r="B14" s="41" t="str">
        <x:v>业务需要</x:v>
      </x:c>
      <x:c r="C14" s="41" t="str">
        <x:v>业务需要</x:v>
      </x:c>
      <x:c r="D14" s="41" t="str">
        <x:v>业务需要</x:v>
      </x:c>
      <x:c r="E14" s="41" t="str">
        <x:v>电子发票+行程单</x:v>
      </x:c>
      <x:c r="F14" s="42" t="str">
        <x:v>不得使用豪华车型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2" hidden="0" customWidth="1"/>
    <x:col min="5" max="5" width="14" hidden="0" customWidth="1"/>
    <x:col min="6" max="6" width="12" hidden="0" customWidth="1"/>
    <x:col min="7" max="7" width="14" hidden="0" customWidth="1"/>
    <x:col min="8" max="8" width="14" hidden="0" customWidth="1"/>
    <x:col min="9" max="9" width="15" hidden="0" customWidth="1"/>
    <x:col min="10" max="10" width="14" hidden="0" customWidth="1"/>
  </x:cols>
  <x:sheetData>
    <x:row r="1" ht="34" customHeight="1">
      <x:c r="A1" s="3" t="str">
        <x:v>差旅报销示例</x:v>
      </x:c>
    </x:row>
    <x:row r="2" ht="24" customHeight="1">
      <x:c r="A2" s="4" t="str">
        <x:v>公式区域用于演示可审计的费用计算。</x:v>
      </x:c>
    </x:row>
    <x:row r="4" ht="28" customHeight="1">
      <x:c r="A4" s="13" t="str">
        <x:v>单号</x:v>
      </x:c>
      <x:c r="B4" s="14" t="str">
        <x:v>员工</x:v>
      </x:c>
      <x:c r="C4" s="14" t="str">
        <x:v>城市类别</x:v>
      </x:c>
      <x:c r="D4" s="14" t="str">
        <x:v>住宿晚数</x:v>
      </x:c>
      <x:c r="E4" s="14" t="str">
        <x:v>住宿单价</x:v>
      </x:c>
      <x:c r="F4" s="14" t="str">
        <x:v>餐补天数</x:v>
      </x:c>
      <x:c r="G4" s="14" t="str">
        <x:v>餐补标准</x:v>
      </x:c>
      <x:c r="H4" s="14" t="str">
        <x:v>交通费</x:v>
      </x:c>
      <x:c r="I4" s="14" t="str">
        <x:v>费用合计</x:v>
      </x:c>
      <x:c r="J4" s="15" t="str">
        <x:v>状态</x:v>
      </x:c>
    </x:row>
    <x:row r="5" ht="25" customHeight="1">
      <x:c r="A5" s="34" t="str">
        <x:v>BX-2026-001</x:v>
      </x:c>
      <x:c r="B5" s="35" t="str">
        <x:v>陈晓</x:v>
      </x:c>
      <x:c r="C5" s="35" t="str">
        <x:v>一类</x:v>
      </x:c>
      <x:c r="D5" s="35" t="n">
        <x:v>2</x:v>
      </x:c>
      <x:c r="E5" s="43" t="n">
        <x:v>560</x:v>
      </x:c>
      <x:c r="F5" s="43" t="n">
        <x:v>3</x:v>
      </x:c>
      <x:c r="G5" s="43" t="n">
        <x:v>120</x:v>
      </x:c>
      <x:c r="H5" s="43" t="n">
        <x:v>180</x:v>
      </x:c>
      <x:c r="I5" s="43" t="n">
        <x:f>D5*E5+F5*G5+H5</x:f>
        <x:v>1660</x:v>
      </x:c>
      <x:c r="J5" s="36" t="str">
        <x:f>IF(OR(AND(C5="一类",E5&gt;600),AND(C5="二类",E5&gt;450),AND(C5="其他",E5&gt;350)),"需特批","标准内")</x:f>
        <x:v>标准内</x:v>
      </x:c>
    </x:row>
    <x:row r="6" ht="25" customHeight="1">
      <x:c r="A6" s="37" t="str">
        <x:v>BX-2026-002</x:v>
      </x:c>
      <x:c r="B6" s="38" t="str">
        <x:v>林可</x:v>
      </x:c>
      <x:c r="C6" s="38" t="str">
        <x:v>二类</x:v>
      </x:c>
      <x:c r="D6" s="38" t="n">
        <x:v>1</x:v>
      </x:c>
      <x:c r="E6" s="44" t="n">
        <x:v>480</x:v>
      </x:c>
      <x:c r="F6" s="44" t="n">
        <x:v>2</x:v>
      </x:c>
      <x:c r="G6" s="44" t="n">
        <x:v>100</x:v>
      </x:c>
      <x:c r="H6" s="44" t="n">
        <x:v>120</x:v>
      </x:c>
      <x:c r="I6" s="44" t="n">
        <x:f>D6*E6+F6*G6+H6</x:f>
        <x:v>800</x:v>
      </x:c>
      <x:c r="J6" s="39" t="str">
        <x:f>IF(OR(AND(C6="一类",E6&gt;600),AND(C6="二类",E6&gt;450),AND(C6="其他",E6&gt;350)),"需特批","标准内")</x:f>
        <x:v>需特批</x:v>
      </x:c>
    </x:row>
    <x:row r="7" ht="25" customHeight="1">
      <x:c r="A7" s="37" t="str">
        <x:v>BX-2026-003</x:v>
      </x:c>
      <x:c r="B7" s="38" t="str">
        <x:v>周航</x:v>
      </x:c>
      <x:c r="C7" s="38" t="str">
        <x:v>其他</x:v>
      </x:c>
      <x:c r="D7" s="38" t="n">
        <x:v>3</x:v>
      </x:c>
      <x:c r="E7" s="44" t="n">
        <x:v>320</x:v>
      </x:c>
      <x:c r="F7" s="44" t="n">
        <x:v>4</x:v>
      </x:c>
      <x:c r="G7" s="44" t="n">
        <x:v>80</x:v>
      </x:c>
      <x:c r="H7" s="44" t="n">
        <x:v>200</x:v>
      </x:c>
      <x:c r="I7" s="44" t="n">
        <x:f>D7*E7+F7*G7+H7</x:f>
        <x:v>1480</x:v>
      </x:c>
      <x:c r="J7" s="39" t="str">
        <x:f>IF(OR(AND(C7="一类",E7&gt;600),AND(C7="二类",E7&gt;450),AND(C7="其他",E7&gt;350)),"需特批","标准内")</x:f>
        <x:v>标准内</x:v>
      </x:c>
    </x:row>
    <x:row r="8" ht="25" customHeight="1">
      <x:c r="A8" s="37" t="str">
        <x:v>BX-2026-004</x:v>
      </x:c>
      <x:c r="B8" s="38" t="str">
        <x:v>陈晓</x:v>
      </x:c>
      <x:c r="C8" s="38" t="str">
        <x:v>一类</x:v>
      </x:c>
      <x:c r="D8" s="38" t="n">
        <x:v>1</x:v>
      </x:c>
      <x:c r="E8" s="44" t="n">
        <x:v>680</x:v>
      </x:c>
      <x:c r="F8" s="44" t="n">
        <x:v>1</x:v>
      </x:c>
      <x:c r="G8" s="44" t="n">
        <x:v>120</x:v>
      </x:c>
      <x:c r="H8" s="44" t="n">
        <x:v>90</x:v>
      </x:c>
      <x:c r="I8" s="44" t="n">
        <x:f>D8*E8+F8*G8+H8</x:f>
        <x:v>890</x:v>
      </x:c>
      <x:c r="J8" s="39" t="str">
        <x:f>IF(OR(AND(C8="一类",E8&gt;600),AND(C8="二类",E8&gt;450),AND(C8="其他",E8&gt;350)),"需特批","标准内")</x:f>
        <x:v>需特批</x:v>
      </x:c>
    </x:row>
    <x:row r="9" ht="25" customHeight="1">
      <x:c r="A9" s="40" t="str">
        <x:v>BX-2026-005</x:v>
      </x:c>
      <x:c r="B9" s="41" t="str">
        <x:v>苏岚</x:v>
      </x:c>
      <x:c r="C9" s="41" t="str">
        <x:v>二类</x:v>
      </x:c>
      <x:c r="D9" s="41" t="n">
        <x:v>2</x:v>
      </x:c>
      <x:c r="E9" s="45" t="n">
        <x:v>420</x:v>
      </x:c>
      <x:c r="F9" s="45" t="n">
        <x:v>3</x:v>
      </x:c>
      <x:c r="G9" s="45" t="n">
        <x:v>100</x:v>
      </x:c>
      <x:c r="H9" s="45" t="n">
        <x:v>160</x:v>
      </x:c>
      <x:c r="I9" s="45" t="n">
        <x:f>D9*E9+F9*G9+H9</x:f>
        <x:v>1300</x:v>
      </x:c>
      <x:c r="J9" s="42" t="str">
        <x:f>IF(OR(AND(C9="一类",E9&gt;600),AND(C9="二类",E9&gt;450),AND(C9="其他",E9&gt;350)),"需特批","标准内")</x:f>
        <x:v>标准内</x:v>
      </x:c>
    </x:row>
  </x:sheetData>
  <x:mergeCells>
    <x:mergeCell ref="A1:J1"/>
    <x:mergeCell ref="A2:J2"/>
  </x:mergeCells>
  <x:conditionalFormatting sqref="J5:J9">
    <x:cfRule type="containsText" dxfId="0" priority="1" operator="containsText" text="需特批"/>
  </x:conditionalFormatting>
  <x:pageMargins left="0.7" right="0.7" top="0.75" bottom="0.75" header="0.3" footer="0.3"/>
</x:worksheet>
</file>